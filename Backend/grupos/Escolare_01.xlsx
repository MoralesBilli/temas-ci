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Simulados" sheetId="1" r:id="rId4"/>
  </sheets>
  <definedNames/>
  <calcPr/>
</workbook>
</file>

<file path=xl/sharedStrings.xml><?xml version="1.0" encoding="utf-8"?>
<sst xmlns="http://schemas.openxmlformats.org/spreadsheetml/2006/main" count="329" uniqueCount="186">
  <si>
    <t>id_alumno</t>
  </si>
  <si>
    <t>nombre</t>
  </si>
  <si>
    <t>apellido_paterno</t>
  </si>
  <si>
    <t>apellido_materno</t>
  </si>
  <si>
    <t>fecha_nacimiento</t>
  </si>
  <si>
    <t>correo</t>
  </si>
  <si>
    <t>telefono</t>
  </si>
  <si>
    <t>carrera</t>
  </si>
  <si>
    <t>promedio</t>
  </si>
  <si>
    <t>fecha_inscripcion</t>
  </si>
  <si>
    <t>tutor_asignado</t>
  </si>
  <si>
    <t>actividad_extracurricular</t>
  </si>
  <si>
    <t>creditos_aprobados</t>
  </si>
  <si>
    <t>status</t>
  </si>
  <si>
    <t>observaciones</t>
  </si>
  <si>
    <t>Carmen</t>
  </si>
  <si>
    <t>N/A</t>
  </si>
  <si>
    <t>2001-04-15</t>
  </si>
  <si>
    <t>carmen.n/a@ittijuana.mx</t>
  </si>
  <si>
    <t>6644493901</t>
  </si>
  <si>
    <t>ISC</t>
  </si>
  <si>
    <t>2017-05-11</t>
  </si>
  <si>
    <t>Dra. Torres</t>
  </si>
  <si>
    <t>Pintura</t>
  </si>
  <si>
    <t>Activo</t>
  </si>
  <si>
    <t>Teléfono nulo</t>
  </si>
  <si>
    <t>Ricardo</t>
  </si>
  <si>
    <t>Mendoza</t>
  </si>
  <si>
    <t>2002-01-23</t>
  </si>
  <si>
    <t>ricardo.mendoza@ittijuana.mx</t>
  </si>
  <si>
    <t>6644712307</t>
  </si>
  <si>
    <t>IEM</t>
  </si>
  <si>
    <t>2023-09-14</t>
  </si>
  <si>
    <t>Mtro. Pérez</t>
  </si>
  <si>
    <t>Ninguna</t>
  </si>
  <si>
    <t>Egresado</t>
  </si>
  <si>
    <t>Fernanda</t>
  </si>
  <si>
    <t>Torres</t>
  </si>
  <si>
    <t>2001-09-01</t>
  </si>
  <si>
    <t>fernanda.@ittijuana.mx</t>
  </si>
  <si>
    <t>6642089245</t>
  </si>
  <si>
    <t>II</t>
  </si>
  <si>
    <t>2018-10-13</t>
  </si>
  <si>
    <t xml:space="preserve"> </t>
  </si>
  <si>
    <t>Emilio</t>
  </si>
  <si>
    <t>Hernández</t>
  </si>
  <si>
    <t>2001-07-21</t>
  </si>
  <si>
    <t>emilio@gmail</t>
  </si>
  <si>
    <t>6645814536</t>
  </si>
  <si>
    <t>2019-12-20</t>
  </si>
  <si>
    <t>Danza</t>
  </si>
  <si>
    <t>Gómez</t>
  </si>
  <si>
    <t>Pérez</t>
  </si>
  <si>
    <t>2003-03-27</t>
  </si>
  <si>
    <t>ricardo.gómez@ittijuana.mx</t>
  </si>
  <si>
    <t>6641445212</t>
  </si>
  <si>
    <t>2021-10-22</t>
  </si>
  <si>
    <t>Baja temporal</t>
  </si>
  <si>
    <t>Correo mal formado</t>
  </si>
  <si>
    <t>Daniela</t>
  </si>
  <si>
    <t>2003-11-11</t>
  </si>
  <si>
    <t>daniela.@ittijuana.mx</t>
  </si>
  <si>
    <t>6648015720</t>
  </si>
  <si>
    <t>2023-10-06</t>
  </si>
  <si>
    <t>Música</t>
  </si>
  <si>
    <t>Gabriela</t>
  </si>
  <si>
    <t>Soto</t>
  </si>
  <si>
    <t>2001-07-02</t>
  </si>
  <si>
    <t>gabriela.gómez@ittijuana.mx</t>
  </si>
  <si>
    <t>6648604365</t>
  </si>
  <si>
    <t>2022-02-20</t>
  </si>
  <si>
    <t>Promedio faltante</t>
  </si>
  <si>
    <t>2000-12-28</t>
  </si>
  <si>
    <t>daniela.mendoza@ittijuana.mx</t>
  </si>
  <si>
    <t>2022-05-11</t>
  </si>
  <si>
    <t>Fútbol</t>
  </si>
  <si>
    <t>Dato inconsistente</t>
  </si>
  <si>
    <t>2003-10-12</t>
  </si>
  <si>
    <t>emilio.n/a@ittijuana.mx</t>
  </si>
  <si>
    <t>6641912197</t>
  </si>
  <si>
    <t>2018-03-20</t>
  </si>
  <si>
    <t>Marisol</t>
  </si>
  <si>
    <t>Fernández</t>
  </si>
  <si>
    <t>2002-07-10</t>
  </si>
  <si>
    <t>marisol.pérez@ittijuana.mx</t>
  </si>
  <si>
    <t>6642354492</t>
  </si>
  <si>
    <t>2018-02-06</t>
  </si>
  <si>
    <t>Gutiérrez</t>
  </si>
  <si>
    <t>emilio.gutiérrez@ittijuana.mx</t>
  </si>
  <si>
    <t>6642644100</t>
  </si>
  <si>
    <t>2021-09-16</t>
  </si>
  <si>
    <t>Raúl</t>
  </si>
  <si>
    <t>Robles</t>
  </si>
  <si>
    <t>2000-05-20</t>
  </si>
  <si>
    <t>raúl.soto@ittijuana.mx</t>
  </si>
  <si>
    <t>6645453788</t>
  </si>
  <si>
    <t>2022-07-19</t>
  </si>
  <si>
    <t>Teatro</t>
  </si>
  <si>
    <t>José</t>
  </si>
  <si>
    <t>Castro</t>
  </si>
  <si>
    <t>2003-03-15</t>
  </si>
  <si>
    <t>josé.castro@ittijuana.mx</t>
  </si>
  <si>
    <t>6644833548</t>
  </si>
  <si>
    <t>2018-03-14</t>
  </si>
  <si>
    <t>2003-02-02</t>
  </si>
  <si>
    <t>daniela.pérez@ittijuana.mx</t>
  </si>
  <si>
    <t>6644076065</t>
  </si>
  <si>
    <t>2017-12-06</t>
  </si>
  <si>
    <t>Ruiz</t>
  </si>
  <si>
    <t>2004-05-26</t>
  </si>
  <si>
    <t>ricardo@gmail</t>
  </si>
  <si>
    <t>6645138802</t>
  </si>
  <si>
    <t>2022-04-24</t>
  </si>
  <si>
    <t>Lucía</t>
  </si>
  <si>
    <t>2004-04-05</t>
  </si>
  <si>
    <t>lucía.fernández@ittijuana.mx</t>
  </si>
  <si>
    <t>6646856140</t>
  </si>
  <si>
    <t>2022-07-27</t>
  </si>
  <si>
    <t>Ajedrez</t>
  </si>
  <si>
    <t>Héctor</t>
  </si>
  <si>
    <t>Martínez</t>
  </si>
  <si>
    <t>2003-01-01</t>
  </si>
  <si>
    <t>héctor.martínez@ittijuana.mx</t>
  </si>
  <si>
    <t>6643603707</t>
  </si>
  <si>
    <t>2020-12-05</t>
  </si>
  <si>
    <t>Luis</t>
  </si>
  <si>
    <t>1999-04-18</t>
  </si>
  <si>
    <t>luis.castro@ittijuana.mx</t>
  </si>
  <si>
    <t>6648011914</t>
  </si>
  <si>
    <t>2020-02-05</t>
  </si>
  <si>
    <t>Tutor no asignado</t>
  </si>
  <si>
    <t>Elena</t>
  </si>
  <si>
    <t>2004-06-05</t>
  </si>
  <si>
    <t>elena@gmail</t>
  </si>
  <si>
    <t>6648193942</t>
  </si>
  <si>
    <t>2021-01-23</t>
  </si>
  <si>
    <t>2002-04-04</t>
  </si>
  <si>
    <t>luis.gómez@ittijuana.mx</t>
  </si>
  <si>
    <t>6647776613</t>
  </si>
  <si>
    <t>2017-07-16</t>
  </si>
  <si>
    <t>Miguel</t>
  </si>
  <si>
    <t>Díaz</t>
  </si>
  <si>
    <t>2001-09-06</t>
  </si>
  <si>
    <t>miguel.ruiz@ittijuana.mx</t>
  </si>
  <si>
    <t>2020-06-03</t>
  </si>
  <si>
    <t>Mtra. Díaz</t>
  </si>
  <si>
    <t>Laura</t>
  </si>
  <si>
    <t>2000-10-04</t>
  </si>
  <si>
    <t>laura@gmail</t>
  </si>
  <si>
    <t>6643010124</t>
  </si>
  <si>
    <t>2017-07-04</t>
  </si>
  <si>
    <t>2005-08-21</t>
  </si>
  <si>
    <t>luis@gmail</t>
  </si>
  <si>
    <t>6645354791</t>
  </si>
  <si>
    <t>2017-04-24</t>
  </si>
  <si>
    <t>Jorge</t>
  </si>
  <si>
    <t>López</t>
  </si>
  <si>
    <t>2005-04-07</t>
  </si>
  <si>
    <t>jorge.n/a@ittijuana.mx</t>
  </si>
  <si>
    <t>6649915457</t>
  </si>
  <si>
    <t>2023-08-27</t>
  </si>
  <si>
    <t>2002-09-11</t>
  </si>
  <si>
    <t>jorge.gómez@ittijuana.mx</t>
  </si>
  <si>
    <t>6647364694</t>
  </si>
  <si>
    <t>2019-10-01</t>
  </si>
  <si>
    <t>Pablo</t>
  </si>
  <si>
    <t>2004-06-28</t>
  </si>
  <si>
    <t>pablo.fernández@ittijuana.mx</t>
  </si>
  <si>
    <t>6642237986</t>
  </si>
  <si>
    <t>2020-06-23</t>
  </si>
  <si>
    <t>héctor.mendoza@ittijuana.mx</t>
  </si>
  <si>
    <t>6644308973</t>
  </si>
  <si>
    <t>2022-08-25</t>
  </si>
  <si>
    <t>2004-12-27</t>
  </si>
  <si>
    <t>daniela.torres@ittijuana.mx</t>
  </si>
  <si>
    <t>6647477452</t>
  </si>
  <si>
    <t>2021-06-28</t>
  </si>
  <si>
    <t>1999-06-09</t>
  </si>
  <si>
    <t>pablo.soto@ittijuana.mx</t>
  </si>
  <si>
    <t>6648487621</t>
  </si>
  <si>
    <t>2020-03-22</t>
  </si>
  <si>
    <t>Alan</t>
  </si>
  <si>
    <t>2002-04-27</t>
  </si>
  <si>
    <t>alan.pérez@ittijuana.mx</t>
  </si>
  <si>
    <t>6643961944</t>
  </si>
  <si>
    <t>2020-10-10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</si>
</sst>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9.14"/>
    <col customWidth="1" min="3" max="3" width="16.14"/>
    <col customWidth="1" min="4" max="5" width="16.71"/>
    <col customWidth="1" min="6" max="6" width="27.57"/>
    <col customWidth="1" min="7" max="7" width="11.71"/>
    <col customWidth="1" min="8" max="8" width="7.29"/>
    <col customWidth="1" min="9" max="9" width="9.57"/>
    <col customWidth="1" min="10" max="10" width="16.29"/>
    <col customWidth="1" min="11" max="11" width="14.43"/>
    <col customWidth="1" min="12" max="12" width="22.86"/>
    <col customWidth="1" min="13" max="13" width="18.43"/>
    <col customWidth="1" min="14" max="14" width="13.0"/>
    <col customWidth="1" min="15" max="15" width="18.43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2" t="s">
        <v>15</v>
      </c>
      <c r="C2" s="3" t="s">
        <v>16</v>
      </c>
      <c r="D2" s="3"/>
      <c r="E2" s="2" t="s">
        <v>17</v>
      </c>
      <c r="F2" s="3" t="s">
        <v>18</v>
      </c>
      <c r="G2" s="2" t="s">
        <v>19</v>
      </c>
      <c r="H2" s="2" t="s">
        <v>20</v>
      </c>
      <c r="I2" s="3">
        <v>68.0</v>
      </c>
      <c r="J2" s="2" t="s">
        <v>21</v>
      </c>
      <c r="K2" s="2" t="s">
        <v>22</v>
      </c>
      <c r="L2" s="2" t="s">
        <v>23</v>
      </c>
      <c r="M2" s="2">
        <v>143.0</v>
      </c>
      <c r="N2" s="2" t="s">
        <v>24</v>
      </c>
      <c r="O2" s="3" t="s">
        <v>25</v>
      </c>
    </row>
    <row r="3">
      <c r="A3" s="2">
        <v>2.0</v>
      </c>
      <c r="B3" s="2" t="s">
        <v>26</v>
      </c>
      <c r="C3" s="2" t="s">
        <v>27</v>
      </c>
      <c r="D3" s="3"/>
      <c r="E3" s="2" t="s">
        <v>28</v>
      </c>
      <c r="F3" s="2" t="s">
        <v>29</v>
      </c>
      <c r="G3" s="2" t="s">
        <v>30</v>
      </c>
      <c r="H3" s="2" t="s">
        <v>31</v>
      </c>
      <c r="I3" s="3">
        <v>56.0</v>
      </c>
      <c r="J3" s="2" t="s">
        <v>32</v>
      </c>
      <c r="K3" s="2" t="s">
        <v>33</v>
      </c>
      <c r="L3" s="3" t="s">
        <v>34</v>
      </c>
      <c r="M3" s="3">
        <v>229.0</v>
      </c>
      <c r="N3" s="2" t="s">
        <v>35</v>
      </c>
      <c r="O3" s="3" t="s">
        <v>25</v>
      </c>
    </row>
    <row r="4">
      <c r="A4" s="2">
        <v>3.0</v>
      </c>
      <c r="B4" s="2" t="s">
        <v>36</v>
      </c>
      <c r="C4" s="3"/>
      <c r="D4" s="2" t="s">
        <v>37</v>
      </c>
      <c r="E4" s="2" t="s">
        <v>38</v>
      </c>
      <c r="F4" s="3" t="s">
        <v>39</v>
      </c>
      <c r="G4" s="2" t="s">
        <v>40</v>
      </c>
      <c r="H4" s="2" t="s">
        <v>41</v>
      </c>
      <c r="I4" s="2">
        <v>76.0</v>
      </c>
      <c r="J4" s="2" t="s">
        <v>42</v>
      </c>
      <c r="K4" s="3"/>
      <c r="L4" s="3"/>
      <c r="M4" s="2">
        <v>148.0</v>
      </c>
      <c r="N4" s="2" t="s">
        <v>24</v>
      </c>
      <c r="O4" s="3" t="s">
        <v>43</v>
      </c>
    </row>
    <row r="5">
      <c r="A5" s="2">
        <v>4.0</v>
      </c>
      <c r="B5" s="2" t="s">
        <v>44</v>
      </c>
      <c r="C5" s="2" t="s">
        <v>37</v>
      </c>
      <c r="D5" s="2" t="s">
        <v>45</v>
      </c>
      <c r="E5" s="2" t="s">
        <v>46</v>
      </c>
      <c r="F5" s="3" t="s">
        <v>47</v>
      </c>
      <c r="G5" s="2" t="s">
        <v>48</v>
      </c>
      <c r="H5" s="2" t="s">
        <v>31</v>
      </c>
      <c r="I5" s="3"/>
      <c r="J5" s="2" t="s">
        <v>49</v>
      </c>
      <c r="K5" s="3"/>
      <c r="L5" s="2" t="s">
        <v>50</v>
      </c>
      <c r="M5" s="3">
        <v>271.0</v>
      </c>
      <c r="N5" s="2" t="s">
        <v>35</v>
      </c>
      <c r="O5" s="3"/>
    </row>
    <row r="6">
      <c r="A6" s="2">
        <v>5.0</v>
      </c>
      <c r="B6" s="2" t="s">
        <v>26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20</v>
      </c>
      <c r="I6" s="2">
        <v>86.0</v>
      </c>
      <c r="J6" s="2" t="s">
        <v>56</v>
      </c>
      <c r="K6" s="3"/>
      <c r="L6" s="3"/>
      <c r="M6" s="2">
        <v>250.0</v>
      </c>
      <c r="N6" s="2" t="s">
        <v>57</v>
      </c>
      <c r="O6" s="3" t="s">
        <v>58</v>
      </c>
    </row>
    <row r="7">
      <c r="A7" s="2">
        <v>6.0</v>
      </c>
      <c r="B7" s="2" t="s">
        <v>59</v>
      </c>
      <c r="C7" s="3"/>
      <c r="D7" s="2" t="s">
        <v>37</v>
      </c>
      <c r="E7" s="2" t="s">
        <v>60</v>
      </c>
      <c r="F7" s="3" t="s">
        <v>61</v>
      </c>
      <c r="G7" s="2" t="s">
        <v>62</v>
      </c>
      <c r="H7" s="2" t="s">
        <v>41</v>
      </c>
      <c r="I7" s="2">
        <v>81.0</v>
      </c>
      <c r="J7" s="2" t="s">
        <v>63</v>
      </c>
      <c r="K7" s="2" t="s">
        <v>22</v>
      </c>
      <c r="L7" s="2" t="s">
        <v>64</v>
      </c>
      <c r="M7" s="3">
        <v>138.0</v>
      </c>
      <c r="N7" s="2" t="s">
        <v>35</v>
      </c>
      <c r="O7" s="3"/>
    </row>
    <row r="8">
      <c r="A8" s="2">
        <v>7.0</v>
      </c>
      <c r="B8" s="2" t="s">
        <v>65</v>
      </c>
      <c r="C8" s="2" t="s">
        <v>51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41</v>
      </c>
      <c r="I8" s="2">
        <v>76.0</v>
      </c>
      <c r="J8" s="2" t="s">
        <v>70</v>
      </c>
      <c r="K8" s="2" t="s">
        <v>22</v>
      </c>
      <c r="L8" s="3"/>
      <c r="M8" s="2">
        <v>171.0</v>
      </c>
      <c r="N8" s="2" t="s">
        <v>57</v>
      </c>
      <c r="O8" s="3" t="s">
        <v>71</v>
      </c>
    </row>
    <row r="9">
      <c r="A9" s="2">
        <v>8.0</v>
      </c>
      <c r="B9" s="2" t="s">
        <v>59</v>
      </c>
      <c r="C9" s="2" t="s">
        <v>27</v>
      </c>
      <c r="D9" s="3"/>
      <c r="E9" s="2" t="s">
        <v>72</v>
      </c>
      <c r="F9" s="2" t="s">
        <v>73</v>
      </c>
      <c r="G9" s="3"/>
      <c r="H9" s="2" t="s">
        <v>20</v>
      </c>
      <c r="I9" s="2">
        <v>90.0</v>
      </c>
      <c r="J9" s="2" t="s">
        <v>74</v>
      </c>
      <c r="K9" s="3"/>
      <c r="L9" s="2" t="s">
        <v>75</v>
      </c>
      <c r="M9" s="3">
        <v>257.0</v>
      </c>
      <c r="N9" s="2" t="s">
        <v>35</v>
      </c>
      <c r="O9" s="3" t="s">
        <v>76</v>
      </c>
    </row>
    <row r="10">
      <c r="A10" s="2">
        <v>9.0</v>
      </c>
      <c r="B10" s="2" t="s">
        <v>44</v>
      </c>
      <c r="C10" s="3" t="s">
        <v>16</v>
      </c>
      <c r="D10" s="3"/>
      <c r="E10" s="2" t="s">
        <v>77</v>
      </c>
      <c r="F10" s="3" t="s">
        <v>78</v>
      </c>
      <c r="G10" s="2" t="s">
        <v>79</v>
      </c>
      <c r="H10" s="2" t="s">
        <v>31</v>
      </c>
      <c r="I10" s="2">
        <v>88.0</v>
      </c>
      <c r="J10" s="2" t="s">
        <v>80</v>
      </c>
      <c r="K10" s="2" t="s">
        <v>22</v>
      </c>
      <c r="L10" s="2" t="s">
        <v>50</v>
      </c>
      <c r="M10" s="3">
        <v>125.0</v>
      </c>
      <c r="N10" s="2" t="s">
        <v>35</v>
      </c>
      <c r="O10" s="3" t="s">
        <v>25</v>
      </c>
    </row>
    <row r="11">
      <c r="A11" s="2">
        <v>10.0</v>
      </c>
      <c r="B11" s="2" t="s">
        <v>81</v>
      </c>
      <c r="C11" s="2" t="s">
        <v>52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20</v>
      </c>
      <c r="I11" s="2">
        <v>90.0</v>
      </c>
      <c r="J11" s="2" t="s">
        <v>86</v>
      </c>
      <c r="K11" s="3"/>
      <c r="L11" s="2" t="s">
        <v>50</v>
      </c>
      <c r="M11" s="2">
        <v>82.0</v>
      </c>
      <c r="N11" s="2" t="s">
        <v>57</v>
      </c>
      <c r="O11" s="3"/>
    </row>
    <row r="12">
      <c r="A12" s="2">
        <v>11.0</v>
      </c>
      <c r="B12" s="2" t="s">
        <v>44</v>
      </c>
      <c r="C12" s="2" t="s">
        <v>87</v>
      </c>
      <c r="D12" s="3"/>
      <c r="E12" s="3"/>
      <c r="F12" s="2" t="s">
        <v>88</v>
      </c>
      <c r="G12" s="2" t="s">
        <v>89</v>
      </c>
      <c r="H12" s="2" t="s">
        <v>31</v>
      </c>
      <c r="I12" s="2">
        <v>86.0</v>
      </c>
      <c r="J12" s="2" t="s">
        <v>90</v>
      </c>
      <c r="K12" s="3"/>
      <c r="L12" s="3" t="s">
        <v>34</v>
      </c>
      <c r="M12" s="3">
        <v>92.0</v>
      </c>
      <c r="N12" s="2" t="s">
        <v>35</v>
      </c>
      <c r="O12" s="3" t="s">
        <v>43</v>
      </c>
    </row>
    <row r="13">
      <c r="A13" s="2">
        <v>12.0</v>
      </c>
      <c r="B13" s="2" t="s">
        <v>91</v>
      </c>
      <c r="C13" s="2" t="s">
        <v>66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20</v>
      </c>
      <c r="I13" s="2">
        <v>89.0</v>
      </c>
      <c r="J13" s="2" t="s">
        <v>96</v>
      </c>
      <c r="K13" s="3"/>
      <c r="L13" s="2" t="s">
        <v>97</v>
      </c>
      <c r="M13" s="3">
        <v>131.0</v>
      </c>
      <c r="N13" s="2" t="s">
        <v>35</v>
      </c>
      <c r="O13" s="3"/>
    </row>
    <row r="14">
      <c r="A14" s="2">
        <v>13.0</v>
      </c>
      <c r="B14" s="2" t="s">
        <v>98</v>
      </c>
      <c r="C14" s="2" t="s">
        <v>99</v>
      </c>
      <c r="D14" s="2" t="s">
        <v>66</v>
      </c>
      <c r="E14" s="2" t="s">
        <v>100</v>
      </c>
      <c r="F14" s="2" t="s">
        <v>101</v>
      </c>
      <c r="G14" s="2" t="s">
        <v>102</v>
      </c>
      <c r="H14" s="2" t="s">
        <v>41</v>
      </c>
      <c r="I14" s="2">
        <v>84.0</v>
      </c>
      <c r="J14" s="2" t="s">
        <v>103</v>
      </c>
      <c r="K14" s="2" t="s">
        <v>22</v>
      </c>
      <c r="L14" s="2" t="s">
        <v>50</v>
      </c>
      <c r="M14" s="2">
        <v>131.0</v>
      </c>
      <c r="N14" s="2" t="s">
        <v>24</v>
      </c>
      <c r="O14" s="3" t="s">
        <v>43</v>
      </c>
    </row>
    <row r="15">
      <c r="A15" s="2">
        <v>14.0</v>
      </c>
      <c r="B15" s="2" t="s">
        <v>59</v>
      </c>
      <c r="C15" s="2" t="s">
        <v>52</v>
      </c>
      <c r="D15" s="2" t="s">
        <v>92</v>
      </c>
      <c r="E15" s="2" t="s">
        <v>104</v>
      </c>
      <c r="F15" s="2" t="s">
        <v>105</v>
      </c>
      <c r="G15" s="2" t="s">
        <v>106</v>
      </c>
      <c r="H15" s="2" t="s">
        <v>20</v>
      </c>
      <c r="I15" s="2">
        <v>71.0</v>
      </c>
      <c r="J15" s="2" t="s">
        <v>107</v>
      </c>
      <c r="K15" s="3"/>
      <c r="L15" s="2" t="s">
        <v>23</v>
      </c>
      <c r="M15" s="3">
        <v>127.0</v>
      </c>
      <c r="N15" s="2" t="s">
        <v>35</v>
      </c>
      <c r="O15" s="3" t="s">
        <v>76</v>
      </c>
    </row>
    <row r="16">
      <c r="A16" s="2">
        <v>15.0</v>
      </c>
      <c r="B16" s="2" t="s">
        <v>26</v>
      </c>
      <c r="C16" s="2" t="s">
        <v>108</v>
      </c>
      <c r="D16" s="2" t="s">
        <v>87</v>
      </c>
      <c r="E16" s="2" t="s">
        <v>109</v>
      </c>
      <c r="F16" s="3" t="s">
        <v>110</v>
      </c>
      <c r="G16" s="2" t="s">
        <v>111</v>
      </c>
      <c r="H16" s="2" t="s">
        <v>41</v>
      </c>
      <c r="I16" s="3">
        <v>57.0</v>
      </c>
      <c r="J16" s="2" t="s">
        <v>112</v>
      </c>
      <c r="K16" s="3"/>
      <c r="L16" s="2" t="s">
        <v>23</v>
      </c>
      <c r="M16" s="2">
        <v>172.0</v>
      </c>
      <c r="N16" s="2" t="s">
        <v>57</v>
      </c>
      <c r="O16" s="3" t="s">
        <v>43</v>
      </c>
    </row>
    <row r="17">
      <c r="A17" s="2">
        <v>16.0</v>
      </c>
      <c r="B17" s="2" t="s">
        <v>113</v>
      </c>
      <c r="C17" s="2" t="s">
        <v>82</v>
      </c>
      <c r="D17" s="3"/>
      <c r="E17" s="2" t="s">
        <v>114</v>
      </c>
      <c r="F17" s="2" t="s">
        <v>115</v>
      </c>
      <c r="G17" s="2" t="s">
        <v>116</v>
      </c>
      <c r="H17" s="2" t="s">
        <v>41</v>
      </c>
      <c r="I17" s="2">
        <v>82.0</v>
      </c>
      <c r="J17" s="2" t="s">
        <v>117</v>
      </c>
      <c r="K17" s="2" t="s">
        <v>33</v>
      </c>
      <c r="L17" s="2" t="s">
        <v>118</v>
      </c>
      <c r="M17" s="3"/>
      <c r="N17" s="2" t="s">
        <v>57</v>
      </c>
      <c r="O17" s="3" t="s">
        <v>43</v>
      </c>
    </row>
    <row r="18">
      <c r="A18" s="2">
        <v>17.0</v>
      </c>
      <c r="B18" s="2" t="s">
        <v>119</v>
      </c>
      <c r="C18" s="2" t="s">
        <v>120</v>
      </c>
      <c r="D18" s="2" t="s">
        <v>51</v>
      </c>
      <c r="E18" s="2" t="s">
        <v>121</v>
      </c>
      <c r="F18" s="2" t="s">
        <v>122</v>
      </c>
      <c r="G18" s="2" t="s">
        <v>123</v>
      </c>
      <c r="H18" s="2" t="s">
        <v>41</v>
      </c>
      <c r="I18" s="3">
        <v>63.0</v>
      </c>
      <c r="J18" s="2" t="s">
        <v>124</v>
      </c>
      <c r="K18" s="2" t="s">
        <v>33</v>
      </c>
      <c r="L18" s="3"/>
      <c r="M18" s="2">
        <v>256.0</v>
      </c>
      <c r="N18" s="2" t="s">
        <v>57</v>
      </c>
      <c r="O18" s="3"/>
    </row>
    <row r="19">
      <c r="A19" s="2">
        <v>18.0</v>
      </c>
      <c r="B19" s="2" t="s">
        <v>125</v>
      </c>
      <c r="C19" s="2" t="s">
        <v>99</v>
      </c>
      <c r="D19" s="2" t="s">
        <v>51</v>
      </c>
      <c r="E19" s="2" t="s">
        <v>126</v>
      </c>
      <c r="F19" s="2" t="s">
        <v>127</v>
      </c>
      <c r="G19" s="2" t="s">
        <v>128</v>
      </c>
      <c r="H19" s="2" t="s">
        <v>41</v>
      </c>
      <c r="I19" s="2">
        <v>92.0</v>
      </c>
      <c r="J19" s="2" t="s">
        <v>129</v>
      </c>
      <c r="K19" s="3"/>
      <c r="L19" s="2" t="s">
        <v>97</v>
      </c>
      <c r="M19" s="2">
        <v>240.0</v>
      </c>
      <c r="N19" s="2" t="s">
        <v>57</v>
      </c>
      <c r="O19" s="3" t="s">
        <v>130</v>
      </c>
    </row>
    <row r="20">
      <c r="A20" s="2">
        <v>19.0</v>
      </c>
      <c r="B20" s="2" t="s">
        <v>131</v>
      </c>
      <c r="C20" s="2" t="s">
        <v>92</v>
      </c>
      <c r="D20" s="2" t="s">
        <v>108</v>
      </c>
      <c r="E20" s="2" t="s">
        <v>132</v>
      </c>
      <c r="F20" s="3" t="s">
        <v>133</v>
      </c>
      <c r="G20" s="2" t="s">
        <v>134</v>
      </c>
      <c r="H20" s="2" t="s">
        <v>41</v>
      </c>
      <c r="I20" s="2">
        <v>91.0</v>
      </c>
      <c r="J20" s="2" t="s">
        <v>135</v>
      </c>
      <c r="K20" s="3"/>
      <c r="L20" s="3" t="s">
        <v>34</v>
      </c>
      <c r="M20" s="2">
        <v>82.0</v>
      </c>
      <c r="N20" s="2" t="s">
        <v>57</v>
      </c>
      <c r="O20" s="3" t="s">
        <v>43</v>
      </c>
    </row>
    <row r="21">
      <c r="A21" s="2">
        <v>20.0</v>
      </c>
      <c r="B21" s="2" t="s">
        <v>125</v>
      </c>
      <c r="C21" s="2" t="s">
        <v>51</v>
      </c>
      <c r="D21" s="2" t="s">
        <v>120</v>
      </c>
      <c r="E21" s="2" t="s">
        <v>136</v>
      </c>
      <c r="F21" s="2" t="s">
        <v>137</v>
      </c>
      <c r="G21" s="2" t="s">
        <v>138</v>
      </c>
      <c r="H21" s="2" t="s">
        <v>31</v>
      </c>
      <c r="I21" s="2">
        <v>76.0</v>
      </c>
      <c r="J21" s="2" t="s">
        <v>139</v>
      </c>
      <c r="K21" s="3"/>
      <c r="L21" s="2" t="s">
        <v>64</v>
      </c>
      <c r="M21" s="3">
        <v>134.0</v>
      </c>
      <c r="N21" s="2" t="s">
        <v>35</v>
      </c>
      <c r="O21" s="3"/>
    </row>
    <row r="22">
      <c r="A22" s="2">
        <v>21.0</v>
      </c>
      <c r="B22" s="2" t="s">
        <v>140</v>
      </c>
      <c r="C22" s="2" t="s">
        <v>108</v>
      </c>
      <c r="D22" s="2" t="s">
        <v>141</v>
      </c>
      <c r="E22" s="2" t="s">
        <v>142</v>
      </c>
      <c r="F22" s="2" t="s">
        <v>143</v>
      </c>
      <c r="G22" s="3"/>
      <c r="H22" s="2" t="s">
        <v>20</v>
      </c>
      <c r="I22" s="2">
        <v>91.0</v>
      </c>
      <c r="J22" s="2" t="s">
        <v>144</v>
      </c>
      <c r="K22" s="2" t="s">
        <v>145</v>
      </c>
      <c r="L22" s="2" t="s">
        <v>23</v>
      </c>
      <c r="M22" s="2">
        <v>138.0</v>
      </c>
      <c r="N22" s="2" t="s">
        <v>24</v>
      </c>
      <c r="O22" s="3" t="s">
        <v>25</v>
      </c>
    </row>
    <row r="23">
      <c r="A23" s="2">
        <v>22.0</v>
      </c>
      <c r="B23" s="2" t="s">
        <v>146</v>
      </c>
      <c r="C23" s="2" t="s">
        <v>82</v>
      </c>
      <c r="D23" s="3"/>
      <c r="E23" s="2" t="s">
        <v>147</v>
      </c>
      <c r="F23" s="3" t="s">
        <v>148</v>
      </c>
      <c r="G23" s="2" t="s">
        <v>149</v>
      </c>
      <c r="H23" s="2" t="s">
        <v>20</v>
      </c>
      <c r="I23" s="3"/>
      <c r="J23" s="2" t="s">
        <v>150</v>
      </c>
      <c r="K23" s="2" t="s">
        <v>33</v>
      </c>
      <c r="L23" s="3"/>
      <c r="M23" s="3">
        <v>143.0</v>
      </c>
      <c r="N23" s="2" t="s">
        <v>35</v>
      </c>
      <c r="O23" s="3" t="s">
        <v>43</v>
      </c>
    </row>
    <row r="24">
      <c r="A24" s="2">
        <v>23.0</v>
      </c>
      <c r="B24" s="2" t="s">
        <v>125</v>
      </c>
      <c r="C24" s="2" t="s">
        <v>52</v>
      </c>
      <c r="D24" s="2" t="s">
        <v>108</v>
      </c>
      <c r="E24" s="2" t="s">
        <v>151</v>
      </c>
      <c r="F24" s="3" t="s">
        <v>152</v>
      </c>
      <c r="G24" s="2" t="s">
        <v>153</v>
      </c>
      <c r="H24" s="2" t="s">
        <v>41</v>
      </c>
      <c r="I24" s="2">
        <v>84.0</v>
      </c>
      <c r="J24" s="2" t="s">
        <v>154</v>
      </c>
      <c r="K24" s="2" t="s">
        <v>145</v>
      </c>
      <c r="L24" s="2" t="s">
        <v>97</v>
      </c>
      <c r="M24" s="3">
        <v>254.0</v>
      </c>
      <c r="N24" s="2" t="s">
        <v>35</v>
      </c>
      <c r="O24" s="3" t="s">
        <v>130</v>
      </c>
    </row>
    <row r="25">
      <c r="A25" s="2">
        <v>24.0</v>
      </c>
      <c r="B25" s="2" t="s">
        <v>155</v>
      </c>
      <c r="C25" s="3" t="s">
        <v>16</v>
      </c>
      <c r="D25" s="2" t="s">
        <v>156</v>
      </c>
      <c r="E25" s="2" t="s">
        <v>157</v>
      </c>
      <c r="F25" s="3" t="s">
        <v>158</v>
      </c>
      <c r="G25" s="2" t="s">
        <v>159</v>
      </c>
      <c r="H25" s="2" t="s">
        <v>31</v>
      </c>
      <c r="I25" s="2">
        <v>87.0</v>
      </c>
      <c r="J25" s="2" t="s">
        <v>160</v>
      </c>
      <c r="K25" s="2" t="s">
        <v>33</v>
      </c>
      <c r="L25" s="3"/>
      <c r="M25" s="2">
        <v>250.0</v>
      </c>
      <c r="N25" s="2" t="s">
        <v>24</v>
      </c>
      <c r="O25" s="3"/>
    </row>
    <row r="26">
      <c r="A26" s="2">
        <v>25.0</v>
      </c>
      <c r="B26" s="2" t="s">
        <v>155</v>
      </c>
      <c r="C26" s="2" t="s">
        <v>51</v>
      </c>
      <c r="D26" s="2" t="s">
        <v>156</v>
      </c>
      <c r="E26" s="2" t="s">
        <v>161</v>
      </c>
      <c r="F26" s="2" t="s">
        <v>162</v>
      </c>
      <c r="G26" s="2" t="s">
        <v>163</v>
      </c>
      <c r="H26" s="2" t="s">
        <v>20</v>
      </c>
      <c r="I26" s="3">
        <v>63.0</v>
      </c>
      <c r="J26" s="2" t="s">
        <v>164</v>
      </c>
      <c r="K26" s="3"/>
      <c r="L26" s="2" t="s">
        <v>118</v>
      </c>
      <c r="M26" s="3">
        <v>246.0</v>
      </c>
      <c r="N26" s="2" t="s">
        <v>35</v>
      </c>
      <c r="O26" s="3" t="s">
        <v>58</v>
      </c>
    </row>
    <row r="27">
      <c r="A27" s="2">
        <v>26.0</v>
      </c>
      <c r="B27" s="2" t="s">
        <v>165</v>
      </c>
      <c r="C27" s="2" t="s">
        <v>82</v>
      </c>
      <c r="D27" s="2" t="s">
        <v>52</v>
      </c>
      <c r="E27" s="2" t="s">
        <v>166</v>
      </c>
      <c r="F27" s="2" t="s">
        <v>167</v>
      </c>
      <c r="G27" s="2" t="s">
        <v>168</v>
      </c>
      <c r="H27" s="2" t="s">
        <v>20</v>
      </c>
      <c r="I27" s="2">
        <v>87.0</v>
      </c>
      <c r="J27" s="2" t="s">
        <v>169</v>
      </c>
      <c r="K27" s="2" t="s">
        <v>145</v>
      </c>
      <c r="L27" s="3"/>
      <c r="M27" s="2">
        <v>191.0</v>
      </c>
      <c r="N27" s="2" t="s">
        <v>24</v>
      </c>
      <c r="O27" s="3"/>
    </row>
    <row r="28">
      <c r="A28" s="2">
        <v>27.0</v>
      </c>
      <c r="B28" s="2" t="s">
        <v>119</v>
      </c>
      <c r="C28" s="2" t="s">
        <v>27</v>
      </c>
      <c r="D28" s="2" t="s">
        <v>51</v>
      </c>
      <c r="E28" s="3"/>
      <c r="F28" s="2" t="s">
        <v>170</v>
      </c>
      <c r="G28" s="2" t="s">
        <v>171</v>
      </c>
      <c r="H28" s="2" t="s">
        <v>41</v>
      </c>
      <c r="I28" s="2">
        <v>70.0</v>
      </c>
      <c r="J28" s="2" t="s">
        <v>172</v>
      </c>
      <c r="K28" s="2" t="s">
        <v>145</v>
      </c>
      <c r="L28" s="3" t="s">
        <v>34</v>
      </c>
      <c r="M28" s="2">
        <v>267.0</v>
      </c>
      <c r="N28" s="2" t="s">
        <v>24</v>
      </c>
      <c r="O28" s="3"/>
    </row>
    <row r="29">
      <c r="A29" s="2">
        <v>28.0</v>
      </c>
      <c r="B29" s="2" t="s">
        <v>59</v>
      </c>
      <c r="C29" s="2" t="s">
        <v>37</v>
      </c>
      <c r="D29" s="2" t="s">
        <v>37</v>
      </c>
      <c r="E29" s="2" t="s">
        <v>173</v>
      </c>
      <c r="F29" s="2" t="s">
        <v>174</v>
      </c>
      <c r="G29" s="2" t="s">
        <v>175</v>
      </c>
      <c r="H29" s="2" t="s">
        <v>20</v>
      </c>
      <c r="I29" s="3">
        <v>60.0</v>
      </c>
      <c r="J29" s="2" t="s">
        <v>176</v>
      </c>
      <c r="K29" s="2" t="s">
        <v>22</v>
      </c>
      <c r="L29" s="2" t="s">
        <v>23</v>
      </c>
      <c r="M29" s="2">
        <v>192.0</v>
      </c>
      <c r="N29" s="2" t="s">
        <v>24</v>
      </c>
      <c r="O29" s="3"/>
    </row>
    <row r="30">
      <c r="A30" s="2">
        <v>29.0</v>
      </c>
      <c r="B30" s="2" t="s">
        <v>165</v>
      </c>
      <c r="C30" s="2" t="s">
        <v>66</v>
      </c>
      <c r="D30" s="2" t="s">
        <v>82</v>
      </c>
      <c r="E30" s="2" t="s">
        <v>177</v>
      </c>
      <c r="F30" s="2" t="s">
        <v>178</v>
      </c>
      <c r="G30" s="2" t="s">
        <v>179</v>
      </c>
      <c r="H30" s="2" t="s">
        <v>20</v>
      </c>
      <c r="I30" s="2">
        <v>87.0</v>
      </c>
      <c r="J30" s="2" t="s">
        <v>180</v>
      </c>
      <c r="K30" s="3"/>
      <c r="L30" s="3"/>
      <c r="M30" s="2">
        <v>255.0</v>
      </c>
      <c r="N30" s="2" t="s">
        <v>57</v>
      </c>
      <c r="O30" s="3" t="s">
        <v>43</v>
      </c>
    </row>
    <row r="31">
      <c r="A31" s="2">
        <v>30.0</v>
      </c>
      <c r="B31" s="2" t="s">
        <v>181</v>
      </c>
      <c r="C31" s="2" t="s">
        <v>52</v>
      </c>
      <c r="D31" s="2" t="s">
        <v>52</v>
      </c>
      <c r="E31" s="2" t="s">
        <v>182</v>
      </c>
      <c r="F31" s="2" t="s">
        <v>183</v>
      </c>
      <c r="G31" s="2" t="s">
        <v>184</v>
      </c>
      <c r="H31" s="2" t="s">
        <v>31</v>
      </c>
      <c r="I31" s="3"/>
      <c r="J31" s="2" t="s">
        <v>185</v>
      </c>
      <c r="K31" s="3"/>
      <c r="L31" s="2" t="s">
        <v>97</v>
      </c>
      <c r="M31" s="3">
        <v>115.0</v>
      </c>
      <c r="N31" s="2" t="s">
        <v>35</v>
      </c>
      <c r="O31" s="3" t="s">
        <v>58</v>
      </c>
    </row>
    <row r="32">
      <c r="C32" s="2">
        <f t="shared" ref="C32:E32" si="1">COUNTIF(C2:C31, "='N/A")+COUNTIF(C2:C31, "='")</f>
        <v>5</v>
      </c>
      <c r="D32" s="2">
        <f t="shared" si="1"/>
        <v>7</v>
      </c>
      <c r="E32" s="2">
        <f t="shared" si="1"/>
        <v>2</v>
      </c>
      <c r="F32" s="4">
        <v>10.0</v>
      </c>
      <c r="G32" s="2">
        <f t="shared" ref="G32:K32" si="2">COUNTIF(G2:G31, "='N/A")+COUNTIF(G2:G31, "='")</f>
        <v>2</v>
      </c>
      <c r="H32" s="2">
        <f t="shared" si="2"/>
        <v>0</v>
      </c>
      <c r="I32" s="2">
        <f t="shared" si="2"/>
        <v>3</v>
      </c>
      <c r="J32" s="2">
        <f t="shared" si="2"/>
        <v>0</v>
      </c>
      <c r="K32" s="2">
        <f t="shared" si="2"/>
        <v>15</v>
      </c>
      <c r="L32" s="2">
        <f>COUNTIF(L2:L31, "='Ninguna")+COUNTIF(L2:L31, "='")</f>
        <v>12</v>
      </c>
      <c r="M32" s="2">
        <f>COUNTBLANK(M2:M31)</f>
        <v>1</v>
      </c>
    </row>
    <row r="33">
      <c r="I33" s="4">
        <v>6.0</v>
      </c>
    </row>
  </sheetData>
  <printOptions/>
  <pageMargins bottom="0.75" footer="0.0" header="0.0" left="0.7" right="0.7" top="0.75"/>
  <pageSetup orientation="landscape"/>
  <drawing r:id="rId1"/>
</worksheet>
</file>